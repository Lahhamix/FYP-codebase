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aub-my.sharepoint.com/personal/cmk19_mail_aub_edu/Documents/Uni/(11) SPRNG 25-26/EECE 502/Peak Detection/MAX30102_by_RF-master/"/>
    </mc:Choice>
  </mc:AlternateContent>
  <xr:revisionPtr revIDLastSave="85" documentId="8_{F8536363-5BF2-4DA2-9519-956CCE5AB751}" xr6:coauthVersionLast="47" xr6:coauthVersionMax="47" xr10:uidLastSave="{6D1DFB07-9629-4D2F-B4B1-4604E8CA31BD}"/>
  <bookViews>
    <workbookView xWindow="-90" yWindow="-90" windowWidth="19380" windowHeight="11460" activeTab="1" xr2:uid="{534E4CE6-FEE8-4837-892D-0F1C87F790D7}"/>
  </bookViews>
  <sheets>
    <sheet name="Unsoldered Interrupt" sheetId="1" r:id="rId1"/>
    <sheet name="Sodlered Interrupt - Exended Te" sheetId="2" r:id="rId2"/>
    <sheet name="Heart Meds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2" i="2"/>
  <c r="K40" i="2"/>
  <c r="K12" i="3"/>
  <c r="J12" i="3"/>
  <c r="I12" i="3"/>
  <c r="K11" i="3"/>
  <c r="J11" i="3"/>
  <c r="I11" i="3"/>
  <c r="M38" i="2"/>
  <c r="L38" i="2"/>
  <c r="M37" i="2"/>
  <c r="L37" i="2"/>
  <c r="K38" i="2"/>
  <c r="K37" i="2"/>
  <c r="M14" i="1"/>
  <c r="L14" i="1"/>
  <c r="M15" i="1"/>
  <c r="L15" i="1"/>
  <c r="K14" i="1"/>
  <c r="K15" i="1"/>
</calcChain>
</file>

<file path=xl/sharedStrings.xml><?xml version="1.0" encoding="utf-8"?>
<sst xmlns="http://schemas.openxmlformats.org/spreadsheetml/2006/main" count="34" uniqueCount="12">
  <si>
    <t>Time[s]</t>
  </si>
  <si>
    <t>SpO2</t>
  </si>
  <si>
    <t>HR</t>
  </si>
  <si>
    <t>Clock</t>
  </si>
  <si>
    <t>Ratio</t>
  </si>
  <si>
    <t>Corr</t>
  </si>
  <si>
    <t>Temp[C]</t>
  </si>
  <si>
    <t>Avg</t>
  </si>
  <si>
    <t>Max</t>
  </si>
  <si>
    <t>Min</t>
  </si>
  <si>
    <t>Error</t>
  </si>
  <si>
    <t>True HR 
[via 1 measurement of an automatic 
digital blood pressure monitor]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</si>
</sst>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4E5B6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'Sodlered Interrupt - Exended Te'!$A$2:$A$47</c:f>
              <c:numCache>
                <c:formatCode>General</c:formatCode>
                <c:ptCount val="46"/>
                <c:pt idx="0">
                  <c:v>32</c:v>
                </c:pt>
                <c:pt idx="1">
                  <c:v>36</c:v>
                </c:pt>
                <c:pt idx="2">
                  <c:v>44</c:v>
                </c:pt>
                <c:pt idx="3">
                  <c:v>48</c:v>
                </c:pt>
                <c:pt idx="4">
                  <c:v>52</c:v>
                </c:pt>
                <c:pt idx="5">
                  <c:v>60</c:v>
                </c:pt>
                <c:pt idx="6">
                  <c:v>64</c:v>
                </c:pt>
                <c:pt idx="7">
                  <c:v>68</c:v>
                </c:pt>
                <c:pt idx="8">
                  <c:v>72</c:v>
                </c:pt>
                <c:pt idx="9">
                  <c:v>76</c:v>
                </c:pt>
                <c:pt idx="10">
                  <c:v>80</c:v>
                </c:pt>
                <c:pt idx="11">
                  <c:v>84</c:v>
                </c:pt>
                <c:pt idx="12">
                  <c:v>88</c:v>
                </c:pt>
                <c:pt idx="13">
                  <c:v>92</c:v>
                </c:pt>
                <c:pt idx="14">
                  <c:v>96</c:v>
                </c:pt>
                <c:pt idx="15">
                  <c:v>100</c:v>
                </c:pt>
                <c:pt idx="16">
                  <c:v>104</c:v>
                </c:pt>
                <c:pt idx="17">
                  <c:v>112</c:v>
                </c:pt>
                <c:pt idx="18">
                  <c:v>116</c:v>
                </c:pt>
                <c:pt idx="19">
                  <c:v>120</c:v>
                </c:pt>
                <c:pt idx="20">
                  <c:v>124</c:v>
                </c:pt>
                <c:pt idx="21">
                  <c:v>128</c:v>
                </c:pt>
                <c:pt idx="22">
                  <c:v>132</c:v>
                </c:pt>
                <c:pt idx="23">
                  <c:v>140</c:v>
                </c:pt>
                <c:pt idx="24">
                  <c:v>144</c:v>
                </c:pt>
                <c:pt idx="25">
                  <c:v>148</c:v>
                </c:pt>
                <c:pt idx="26">
                  <c:v>152</c:v>
                </c:pt>
                <c:pt idx="27">
                  <c:v>160</c:v>
                </c:pt>
                <c:pt idx="28">
                  <c:v>164</c:v>
                </c:pt>
                <c:pt idx="29">
                  <c:v>168</c:v>
                </c:pt>
                <c:pt idx="30">
                  <c:v>172</c:v>
                </c:pt>
                <c:pt idx="31">
                  <c:v>180</c:v>
                </c:pt>
                <c:pt idx="32">
                  <c:v>184</c:v>
                </c:pt>
                <c:pt idx="33">
                  <c:v>188</c:v>
                </c:pt>
                <c:pt idx="34">
                  <c:v>192</c:v>
                </c:pt>
                <c:pt idx="35">
                  <c:v>196</c:v>
                </c:pt>
                <c:pt idx="36">
                  <c:v>200</c:v>
                </c:pt>
                <c:pt idx="37">
                  <c:v>204</c:v>
                </c:pt>
                <c:pt idx="38">
                  <c:v>208</c:v>
                </c:pt>
                <c:pt idx="39">
                  <c:v>212</c:v>
                </c:pt>
                <c:pt idx="40">
                  <c:v>216</c:v>
                </c:pt>
                <c:pt idx="41">
                  <c:v>220</c:v>
                </c:pt>
                <c:pt idx="42">
                  <c:v>224</c:v>
                </c:pt>
                <c:pt idx="43">
                  <c:v>228</c:v>
                </c:pt>
                <c:pt idx="44">
                  <c:v>232</c:v>
                </c:pt>
                <c:pt idx="45">
                  <c:v>240</c:v>
                </c:pt>
              </c:numCache>
            </c:numRef>
          </c:xVal>
          <c:yVal>
            <c:numRef>
              <c:f>'Sodlered Interrupt - Exended Te'!$F$2:$F$47</c:f>
              <c:numCache>
                <c:formatCode>General</c:formatCode>
                <c:ptCount val="46"/>
                <c:pt idx="0">
                  <c:v>0.92</c:v>
                </c:pt>
                <c:pt idx="1">
                  <c:v>0.81</c:v>
                </c:pt>
                <c:pt idx="2">
                  <c:v>0.86</c:v>
                </c:pt>
                <c:pt idx="3">
                  <c:v>0.92</c:v>
                </c:pt>
                <c:pt idx="4">
                  <c:v>0.87</c:v>
                </c:pt>
                <c:pt idx="5">
                  <c:v>0.96</c:v>
                </c:pt>
                <c:pt idx="6">
                  <c:v>0.91</c:v>
                </c:pt>
                <c:pt idx="7">
                  <c:v>0.93</c:v>
                </c:pt>
                <c:pt idx="8">
                  <c:v>0.95</c:v>
                </c:pt>
                <c:pt idx="9">
                  <c:v>0.95</c:v>
                </c:pt>
                <c:pt idx="10">
                  <c:v>0.96</c:v>
                </c:pt>
                <c:pt idx="11">
                  <c:v>0.89</c:v>
                </c:pt>
                <c:pt idx="12">
                  <c:v>0.93</c:v>
                </c:pt>
                <c:pt idx="13">
                  <c:v>0.95</c:v>
                </c:pt>
                <c:pt idx="14">
                  <c:v>0.91</c:v>
                </c:pt>
                <c:pt idx="15">
                  <c:v>0.92</c:v>
                </c:pt>
                <c:pt idx="16">
                  <c:v>0.89</c:v>
                </c:pt>
                <c:pt idx="17">
                  <c:v>0.9</c:v>
                </c:pt>
                <c:pt idx="18">
                  <c:v>0.96</c:v>
                </c:pt>
                <c:pt idx="19">
                  <c:v>0.97</c:v>
                </c:pt>
                <c:pt idx="20">
                  <c:v>0.98</c:v>
                </c:pt>
                <c:pt idx="21">
                  <c:v>0.97</c:v>
                </c:pt>
                <c:pt idx="22">
                  <c:v>0.97</c:v>
                </c:pt>
                <c:pt idx="23">
                  <c:v>0.96</c:v>
                </c:pt>
                <c:pt idx="24">
                  <c:v>0.97</c:v>
                </c:pt>
                <c:pt idx="25">
                  <c:v>0.98</c:v>
                </c:pt>
                <c:pt idx="26">
                  <c:v>0.95</c:v>
                </c:pt>
                <c:pt idx="27">
                  <c:v>0.94</c:v>
                </c:pt>
                <c:pt idx="28">
                  <c:v>0.95</c:v>
                </c:pt>
                <c:pt idx="29">
                  <c:v>0.96</c:v>
                </c:pt>
                <c:pt idx="30">
                  <c:v>0.9</c:v>
                </c:pt>
                <c:pt idx="31">
                  <c:v>0.98</c:v>
                </c:pt>
                <c:pt idx="32">
                  <c:v>0.95</c:v>
                </c:pt>
                <c:pt idx="33">
                  <c:v>0.98</c:v>
                </c:pt>
                <c:pt idx="34">
                  <c:v>0.97</c:v>
                </c:pt>
                <c:pt idx="35">
                  <c:v>0.93</c:v>
                </c:pt>
                <c:pt idx="36">
                  <c:v>0.95</c:v>
                </c:pt>
                <c:pt idx="37">
                  <c:v>0.97</c:v>
                </c:pt>
                <c:pt idx="38">
                  <c:v>0.95</c:v>
                </c:pt>
                <c:pt idx="39">
                  <c:v>0.94</c:v>
                </c:pt>
                <c:pt idx="40">
                  <c:v>0.96</c:v>
                </c:pt>
                <c:pt idx="41">
                  <c:v>0.98</c:v>
                </c:pt>
                <c:pt idx="42">
                  <c:v>0.96</c:v>
                </c:pt>
                <c:pt idx="43">
                  <c:v>0.95</c:v>
                </c:pt>
                <c:pt idx="44">
                  <c:v>0.96</c:v>
                </c:pt>
                <c:pt idx="45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9-4B1A-B10A-19E0F0687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546335"/>
        <c:axId val="1396552575"/>
      </c:scatterChart>
      <c:valAx>
        <c:axId val="139654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52575"/>
        <c:crosses val="autoZero"/>
        <c:crossBetween val="midCat"/>
      </c:valAx>
      <c:valAx>
        <c:axId val="139655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4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'Heart Meds Test'!$A$2:$A$20</c:f>
              <c:numCache>
                <c:formatCode>General</c:formatCode>
                <c:ptCount val="19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  <c:pt idx="5">
                  <c:v>28</c:v>
                </c:pt>
                <c:pt idx="6">
                  <c:v>32</c:v>
                </c:pt>
                <c:pt idx="7">
                  <c:v>36</c:v>
                </c:pt>
                <c:pt idx="8">
                  <c:v>40</c:v>
                </c:pt>
                <c:pt idx="9">
                  <c:v>44</c:v>
                </c:pt>
                <c:pt idx="10">
                  <c:v>48</c:v>
                </c:pt>
                <c:pt idx="11">
                  <c:v>52</c:v>
                </c:pt>
                <c:pt idx="12">
                  <c:v>56</c:v>
                </c:pt>
                <c:pt idx="13">
                  <c:v>64</c:v>
                </c:pt>
                <c:pt idx="14">
                  <c:v>68</c:v>
                </c:pt>
                <c:pt idx="15">
                  <c:v>72</c:v>
                </c:pt>
                <c:pt idx="16">
                  <c:v>76</c:v>
                </c:pt>
                <c:pt idx="17">
                  <c:v>80</c:v>
                </c:pt>
                <c:pt idx="18">
                  <c:v>84</c:v>
                </c:pt>
              </c:numCache>
            </c:numRef>
          </c:xVal>
          <c:yVal>
            <c:numRef>
              <c:f>'Heart Meds Test'!$F$2:$F$20</c:f>
              <c:numCache>
                <c:formatCode>General</c:formatCode>
                <c:ptCount val="19"/>
                <c:pt idx="0">
                  <c:v>0.99</c:v>
                </c:pt>
                <c:pt idx="1">
                  <c:v>0.99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0.99</c:v>
                </c:pt>
                <c:pt idx="13">
                  <c:v>0.98</c:v>
                </c:pt>
                <c:pt idx="14">
                  <c:v>0.99</c:v>
                </c:pt>
                <c:pt idx="15">
                  <c:v>1</c:v>
                </c:pt>
                <c:pt idx="16">
                  <c:v>0.99</c:v>
                </c:pt>
                <c:pt idx="17">
                  <c:v>1</c:v>
                </c:pt>
                <c:pt idx="1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6-4B08-BD65-9EA510DCF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200783"/>
        <c:axId val="689202703"/>
      </c:scatterChart>
      <c:valAx>
        <c:axId val="68920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02703"/>
        <c:crosses val="autoZero"/>
        <c:crossBetween val="midCat"/>
      </c:valAx>
      <c:valAx>
        <c:axId val="6892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0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168275</xdr:colOff>
      <xdr:row>14</xdr:row>
      <xdr:rowOff>142875</xdr:rowOff>
    </xdr:from>
    <xdr:to>
      <xdr:col>13</xdr:col>
      <xdr:colOff>463550</xdr:colOff>
      <xdr:row>18</xdr:row>
      <xdr:rowOff>180975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5A08465-3E9E-15CD-6D08-F4369F3022B5}"/>
            </a:ext>
          </a:extLst>
        </xdr:cNvPr>
        <xdr:cNvCxnSpPr/>
      </xdr:nvCxnSpPr>
      <xdr:spPr>
        <a:xfrm flipH="1" flipV="1">
          <a:off x="6264275" y="2765425"/>
          <a:ext cx="904875" cy="787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454025</xdr:colOff>
      <xdr:row>18</xdr:row>
      <xdr:rowOff>82549</xdr:rowOff>
    </xdr:from>
    <xdr:to>
      <xdr:col>20</xdr:col>
      <xdr:colOff>381000</xdr:colOff>
      <xdr:row>28</xdr:row>
      <xdr:rowOff>6350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346DFA-BDB2-B66F-7043-A64F62A31A2D}"/>
            </a:ext>
          </a:extLst>
        </xdr:cNvPr>
        <xdr:cNvSpPr txBox="1"/>
      </xdr:nvSpPr>
      <xdr:spPr>
        <a:xfrm>
          <a:off x="7159625" y="3454399"/>
          <a:ext cx="4098925" cy="1797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solidFill>
                <a:schemeClr val="tx2">
                  <a:lumMod val="75000"/>
                  <a:lumOff val="25000"/>
                </a:schemeClr>
              </a:solidFill>
            </a:rPr>
            <a:t>HRV (Heart Rate Variability):</a:t>
          </a:r>
          <a:br>
            <a:rPr lang="en-US">
              <a:solidFill>
                <a:schemeClr val="tx2">
                  <a:lumMod val="75000"/>
                  <a:lumOff val="25000"/>
                </a:schemeClr>
              </a:solidFill>
            </a:rPr>
          </a:br>
          <a:r>
            <a:rPr lang="en-US">
              <a:solidFill>
                <a:schemeClr val="tx2">
                  <a:lumMod val="75000"/>
                  <a:lumOff val="25000"/>
                </a:schemeClr>
              </a:solidFill>
            </a:rPr>
            <a:t>HRV represents the variation in time between consecutive heartbeats and reflects the balance of the autonomic nervous system; higher HRV generally indicates greater physiological adaptability, while lower HRV often corresponds to a more stable or medically regulated heart rhythm.</a:t>
          </a:r>
        </a:p>
        <a:p>
          <a:endParaRPr lang="en-US" sz="1100">
            <a:solidFill>
              <a:schemeClr val="tx2">
                <a:lumMod val="75000"/>
                <a:lumOff val="25000"/>
              </a:schemeClr>
            </a:solidFill>
          </a:endParaRPr>
        </a:p>
        <a:p>
          <a:r>
            <a:rPr lang="en-US" sz="1100" b="1">
              <a:solidFill>
                <a:schemeClr val="tx2">
                  <a:lumMod val="75000"/>
                  <a:lumOff val="25000"/>
                </a:schemeClr>
              </a:solidFill>
            </a:rPr>
            <a:t>Note:</a:t>
          </a:r>
          <a:r>
            <a:rPr lang="en-US" sz="1100" b="0" baseline="0">
              <a:solidFill>
                <a:schemeClr val="tx2">
                  <a:lumMod val="75000"/>
                  <a:lumOff val="25000"/>
                </a:schemeClr>
              </a:solidFill>
            </a:rPr>
            <a:t> </a:t>
          </a:r>
          <a:r>
            <a:rPr lang="en-US" sz="1100" b="0" i="1" baseline="0">
              <a:solidFill>
                <a:schemeClr val="tx2">
                  <a:lumMod val="75000"/>
                  <a:lumOff val="25000"/>
                </a:schemeClr>
              </a:solidFill>
            </a:rPr>
            <a:t>This type of variation in calculated HR from PPG signals is normal for me. People on heart medication have lower HRV. Check "Heart Meds Test"</a:t>
          </a:r>
          <a:endParaRPr lang="en-US" sz="11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20265</xdr:colOff>
      <xdr:row>0</xdr:row>
      <xdr:rowOff>186485</xdr:rowOff>
    </xdr:from>
    <xdr:to>
      <xdr:col>17</xdr:col>
      <xdr:colOff>324317</xdr:colOff>
      <xdr:row>15</xdr:row>
      <xdr:rowOff>120370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D06B01-1327-10CE-C999-F384AF54D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577850</xdr:colOff>
      <xdr:row>1</xdr:row>
      <xdr:rowOff>142875</xdr:rowOff>
    </xdr:from>
    <xdr:to>
      <xdr:col>10</xdr:col>
      <xdr:colOff>12700</xdr:colOff>
      <xdr:row>3</xdr:row>
      <xdr:rowOff>3175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80943BB-8324-BDBF-269C-40AE1302753B}"/>
            </a:ext>
          </a:extLst>
        </xdr:cNvPr>
        <xdr:cNvCxnSpPr/>
      </xdr:nvCxnSpPr>
      <xdr:spPr>
        <a:xfrm flipH="1">
          <a:off x="3625850" y="330200"/>
          <a:ext cx="2482850" cy="234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603250</xdr:colOff>
      <xdr:row>1</xdr:row>
      <xdr:rowOff>50800</xdr:rowOff>
    </xdr:from>
    <xdr:to>
      <xdr:col>18</xdr:col>
      <xdr:colOff>38100</xdr:colOff>
      <xdr:row>5</xdr:row>
      <xdr:rowOff>120650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E09F26-D41D-824A-E768-CF84C7AACBE8}"/>
            </a:ext>
          </a:extLst>
        </xdr:cNvPr>
        <xdr:cNvSpPr txBox="1"/>
      </xdr:nvSpPr>
      <xdr:spPr>
        <a:xfrm>
          <a:off x="6089650" y="238125"/>
          <a:ext cx="492125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solidFill>
                <a:schemeClr val="tx2">
                  <a:lumMod val="75000"/>
                  <a:lumOff val="25000"/>
                </a:schemeClr>
              </a:solidFill>
            </a:rPr>
            <a:t>Correlation Factor:</a:t>
          </a:r>
          <a:br>
            <a:rPr lang="en-US">
              <a:solidFill>
                <a:schemeClr val="tx2">
                  <a:lumMod val="75000"/>
                  <a:lumOff val="25000"/>
                </a:schemeClr>
              </a:solidFill>
            </a:rPr>
          </a:br>
          <a:r>
            <a:rPr lang="en-US">
              <a:solidFill>
                <a:schemeClr val="tx2">
                  <a:lumMod val="75000"/>
                  <a:lumOff val="25000"/>
                </a:schemeClr>
              </a:solidFill>
            </a:rPr>
            <a:t>The correlation factor measures how closely the RED and IR PPG signals follow the same pulsatile pattern; values close to </a:t>
          </a:r>
          <a:r>
            <a:rPr lang="en-US" b="1">
              <a:solidFill>
                <a:schemeClr val="tx2">
                  <a:lumMod val="75000"/>
                  <a:lumOff val="25000"/>
                </a:schemeClr>
              </a:solidFill>
            </a:rPr>
            <a:t>1</a:t>
          </a:r>
          <a:r>
            <a:rPr lang="en-US">
              <a:solidFill>
                <a:schemeClr val="tx2">
                  <a:lumMod val="75000"/>
                  <a:lumOff val="25000"/>
                </a:schemeClr>
              </a:solidFill>
            </a:rPr>
            <a:t> indicate strong agreement between the two signals and therefore high signal quality for reliable SpO₂ and heart rate estimation.</a:t>
          </a:r>
          <a:endParaRPr lang="en-US" sz="1100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11</xdr:col>
      <xdr:colOff>300037</xdr:colOff>
      <xdr:row>6</xdr:row>
      <xdr:rowOff>11112</xdr:rowOff>
    </xdr:from>
    <xdr:to>
      <xdr:col>18</xdr:col>
      <xdr:colOff>28575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777E93-C8BA-1CE2-398E-71932273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A562-5D7F-43EE-9E62-77F1D3C70974}">
  <dimension ref="A1:O47"/>
  <sheetViews>
    <sheetView workbookViewId="0">
      <selection activeCell="I25" sqref="I25:I26"/>
    </sheetView>
  </sheetViews>
  <sheetFormatPr defaultRowHeight="14.75"/>
  <cols>
    <col min="8" max="8" width="19.08984375" customWidth="1"/>
    <col min="15" max="15" width="7.36328125" customWidth="1"/>
  </cols>
  <sheetData>
    <row r="1" spans="1:15" ht="73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11</v>
      </c>
      <c r="I1" s="5" t="s">
        <v>10</v>
      </c>
      <c r="J1" s="5"/>
      <c r="O1" s="2"/>
    </row>
    <row r="2" spans="1:15">
      <c r="A2">
        <v>24</v>
      </c>
      <c r="B2">
        <v>98.94</v>
      </c>
      <c r="C2">
        <v>78</v>
      </c>
      <c r="D2" s="1">
        <v>2.7777777777777778E-4</v>
      </c>
      <c r="E2">
        <v>0.76</v>
      </c>
      <c r="F2">
        <v>0.97</v>
      </c>
      <c r="G2">
        <v>31.25</v>
      </c>
      <c r="H2">
        <v>72</v>
      </c>
      <c r="I2">
        <f>ABS(H2-C2)</f>
        <v>6</v>
      </c>
      <c r="O2" s="2"/>
    </row>
    <row r="3" spans="1:15">
      <c r="A3">
        <v>28</v>
      </c>
      <c r="B3">
        <v>99.06</v>
      </c>
      <c r="C3">
        <v>65</v>
      </c>
      <c r="D3" s="1">
        <v>3.2407407407407406E-4</v>
      </c>
      <c r="E3">
        <v>0.81</v>
      </c>
      <c r="F3">
        <v>0.97</v>
      </c>
      <c r="G3">
        <v>31.19</v>
      </c>
      <c r="H3">
        <v>72</v>
      </c>
      <c r="I3">
        <f t="shared" ref="I3:I29" si="0">ABS(H3-C3)</f>
        <v>7</v>
      </c>
      <c r="O3" s="2"/>
    </row>
    <row r="4" spans="1:15">
      <c r="A4">
        <v>32</v>
      </c>
      <c r="B4">
        <v>98.81</v>
      </c>
      <c r="C4">
        <v>71</v>
      </c>
      <c r="D4" s="1">
        <v>3.7037037037037035E-4</v>
      </c>
      <c r="E4">
        <v>0.75</v>
      </c>
      <c r="F4">
        <v>0.96</v>
      </c>
      <c r="G4">
        <v>31.19</v>
      </c>
      <c r="H4">
        <v>72</v>
      </c>
      <c r="I4">
        <f t="shared" si="0"/>
        <v>1</v>
      </c>
      <c r="O4" s="2"/>
    </row>
    <row r="5" spans="1:15">
      <c r="A5">
        <v>36</v>
      </c>
      <c r="B5">
        <v>98.96</v>
      </c>
      <c r="C5">
        <v>75</v>
      </c>
      <c r="D5" s="1">
        <v>4.1666666666666669E-4</v>
      </c>
      <c r="E5">
        <v>0.74</v>
      </c>
      <c r="F5">
        <v>0.99</v>
      </c>
      <c r="G5">
        <v>31.44</v>
      </c>
      <c r="H5">
        <v>72</v>
      </c>
      <c r="I5">
        <f t="shared" si="0"/>
        <v>3</v>
      </c>
      <c r="O5" s="2"/>
    </row>
    <row r="6" spans="1:15">
      <c r="A6">
        <v>40</v>
      </c>
      <c r="B6">
        <v>99.12</v>
      </c>
      <c r="C6">
        <v>83</v>
      </c>
      <c r="D6" s="1">
        <v>4.6296296296296298E-4</v>
      </c>
      <c r="E6">
        <v>0.76</v>
      </c>
      <c r="F6">
        <v>0.97</v>
      </c>
      <c r="G6">
        <v>31.37</v>
      </c>
      <c r="H6">
        <v>72</v>
      </c>
      <c r="I6">
        <f t="shared" si="0"/>
        <v>11</v>
      </c>
      <c r="O6" s="2"/>
    </row>
    <row r="7" spans="1:15">
      <c r="A7">
        <v>44</v>
      </c>
      <c r="B7">
        <v>98.47</v>
      </c>
      <c r="C7">
        <v>75</v>
      </c>
      <c r="D7" s="1">
        <v>5.0925925925925921E-4</v>
      </c>
      <c r="E7">
        <v>0.69</v>
      </c>
      <c r="F7">
        <v>0.94</v>
      </c>
      <c r="G7">
        <v>31.56</v>
      </c>
      <c r="H7">
        <v>72</v>
      </c>
      <c r="I7">
        <f t="shared" si="0"/>
        <v>3</v>
      </c>
      <c r="O7" s="2"/>
    </row>
    <row r="8" spans="1:15">
      <c r="A8">
        <v>48</v>
      </c>
      <c r="B8">
        <v>99.18</v>
      </c>
      <c r="C8">
        <v>78</v>
      </c>
      <c r="D8" s="1">
        <v>5.5555555555555556E-4</v>
      </c>
      <c r="E8">
        <v>0.57999999999999996</v>
      </c>
      <c r="F8">
        <v>0.97</v>
      </c>
      <c r="G8">
        <v>31.62</v>
      </c>
      <c r="H8">
        <v>72</v>
      </c>
      <c r="I8">
        <f t="shared" si="0"/>
        <v>6</v>
      </c>
      <c r="O8" s="2"/>
    </row>
    <row r="9" spans="1:15">
      <c r="A9">
        <v>52</v>
      </c>
      <c r="B9">
        <v>96.91</v>
      </c>
      <c r="C9">
        <v>75</v>
      </c>
      <c r="D9" s="1">
        <v>6.018518518518519E-4</v>
      </c>
      <c r="E9">
        <v>0.55000000000000004</v>
      </c>
      <c r="F9">
        <v>0.95</v>
      </c>
      <c r="G9">
        <v>31.69</v>
      </c>
      <c r="H9">
        <v>72</v>
      </c>
      <c r="I9">
        <f t="shared" si="0"/>
        <v>3</v>
      </c>
      <c r="O9" s="2"/>
    </row>
    <row r="10" spans="1:15">
      <c r="A10">
        <v>56</v>
      </c>
      <c r="B10">
        <v>99.38</v>
      </c>
      <c r="C10">
        <v>78</v>
      </c>
      <c r="D10" s="1">
        <v>6.4814814814814813E-4</v>
      </c>
      <c r="E10">
        <v>0.72</v>
      </c>
      <c r="F10">
        <v>0.99</v>
      </c>
      <c r="G10">
        <v>31.81</v>
      </c>
      <c r="H10">
        <v>72</v>
      </c>
      <c r="I10">
        <f t="shared" si="0"/>
        <v>6</v>
      </c>
      <c r="O10" s="2"/>
    </row>
    <row r="11" spans="1:15">
      <c r="A11">
        <v>60</v>
      </c>
      <c r="B11">
        <v>99.31</v>
      </c>
      <c r="C11">
        <v>75</v>
      </c>
      <c r="D11" s="1">
        <v>6.9444444444444447E-4</v>
      </c>
      <c r="E11">
        <v>0.82</v>
      </c>
      <c r="F11">
        <v>0.95</v>
      </c>
      <c r="G11">
        <v>31.62</v>
      </c>
      <c r="H11">
        <v>72</v>
      </c>
      <c r="I11">
        <f t="shared" si="0"/>
        <v>3</v>
      </c>
      <c r="O11" s="2"/>
    </row>
    <row r="12" spans="1:15">
      <c r="A12">
        <v>64</v>
      </c>
      <c r="B12">
        <v>98.97</v>
      </c>
      <c r="C12">
        <v>78</v>
      </c>
      <c r="D12" s="1">
        <v>7.407407407407407E-4</v>
      </c>
      <c r="E12">
        <v>0.73</v>
      </c>
      <c r="F12">
        <v>0.95</v>
      </c>
      <c r="G12">
        <v>31.75</v>
      </c>
      <c r="H12">
        <v>72</v>
      </c>
      <c r="I12">
        <f t="shared" si="0"/>
        <v>6</v>
      </c>
      <c r="O12" s="2"/>
    </row>
    <row r="13" spans="1:15">
      <c r="A13">
        <v>68</v>
      </c>
      <c r="B13">
        <v>99.43</v>
      </c>
      <c r="C13">
        <v>68</v>
      </c>
      <c r="D13" s="1">
        <v>7.8703703703703705E-4</v>
      </c>
      <c r="E13">
        <v>0.76</v>
      </c>
      <c r="F13">
        <v>0.98</v>
      </c>
      <c r="G13">
        <v>31.62</v>
      </c>
      <c r="H13">
        <v>72</v>
      </c>
      <c r="I13">
        <f t="shared" si="0"/>
        <v>4</v>
      </c>
      <c r="K13" t="s">
        <v>7</v>
      </c>
      <c r="L13" t="s">
        <v>8</v>
      </c>
      <c r="M13" t="s">
        <v>9</v>
      </c>
      <c r="O13" s="2"/>
    </row>
    <row r="14" spans="1:15">
      <c r="A14">
        <v>72</v>
      </c>
      <c r="B14">
        <v>99.41</v>
      </c>
      <c r="C14">
        <v>71</v>
      </c>
      <c r="D14" s="1">
        <v>8.3333333333333339E-4</v>
      </c>
      <c r="E14">
        <v>0.78</v>
      </c>
      <c r="F14">
        <v>0.97</v>
      </c>
      <c r="G14">
        <v>31.75</v>
      </c>
      <c r="H14">
        <v>72</v>
      </c>
      <c r="I14">
        <f t="shared" si="0"/>
        <v>1</v>
      </c>
      <c r="K14">
        <f>AVERAGE(B2:B29)</f>
        <v>98.635357142857146</v>
      </c>
      <c r="L14">
        <f>MAX(B2:B29)</f>
        <v>99.43</v>
      </c>
      <c r="M14">
        <f>MIN(B2:B29)</f>
        <v>96.91</v>
      </c>
      <c r="O14" s="2"/>
    </row>
    <row r="15" spans="1:15">
      <c r="A15">
        <v>76</v>
      </c>
      <c r="B15">
        <v>98.58</v>
      </c>
      <c r="C15">
        <v>71</v>
      </c>
      <c r="D15" s="1">
        <v>8.7962962962962962E-4</v>
      </c>
      <c r="E15">
        <v>0.79</v>
      </c>
      <c r="F15">
        <v>0.98</v>
      </c>
      <c r="G15">
        <v>31.56</v>
      </c>
      <c r="H15">
        <v>72</v>
      </c>
      <c r="I15">
        <f t="shared" si="0"/>
        <v>1</v>
      </c>
      <c r="K15">
        <f>AVERAGE(C3:C30)</f>
        <v>77.555555555555557</v>
      </c>
      <c r="L15" s="3">
        <f>MAX(C3:C30)</f>
        <v>88</v>
      </c>
      <c r="M15" s="3">
        <f>MIN(C3:C30)</f>
        <v>65</v>
      </c>
      <c r="O15" s="2"/>
    </row>
    <row r="16" spans="1:15">
      <c r="A16">
        <v>80</v>
      </c>
      <c r="B16">
        <v>98.21</v>
      </c>
      <c r="C16">
        <v>78</v>
      </c>
      <c r="D16" s="1">
        <v>9.2592592592592596E-4</v>
      </c>
      <c r="E16">
        <v>0.8</v>
      </c>
      <c r="F16">
        <v>0.94</v>
      </c>
      <c r="G16">
        <v>31.56</v>
      </c>
      <c r="H16">
        <v>72</v>
      </c>
      <c r="I16">
        <f t="shared" si="0"/>
        <v>6</v>
      </c>
      <c r="O16" s="2"/>
    </row>
    <row r="17" spans="1:15">
      <c r="A17">
        <v>84</v>
      </c>
      <c r="B17">
        <v>97</v>
      </c>
      <c r="C17">
        <v>78</v>
      </c>
      <c r="D17" s="1">
        <v>9.7222222222222219E-4</v>
      </c>
      <c r="E17">
        <v>0.55000000000000004</v>
      </c>
      <c r="F17">
        <v>0.93</v>
      </c>
      <c r="G17">
        <v>31.87</v>
      </c>
      <c r="H17">
        <v>72</v>
      </c>
      <c r="I17">
        <f t="shared" si="0"/>
        <v>6</v>
      </c>
      <c r="O17" s="2"/>
    </row>
    <row r="18" spans="1:15">
      <c r="A18">
        <v>88</v>
      </c>
      <c r="B18">
        <v>97.98</v>
      </c>
      <c r="C18">
        <v>78</v>
      </c>
      <c r="D18" s="1">
        <v>1.0185185185185184E-3</v>
      </c>
      <c r="E18">
        <v>0.86</v>
      </c>
      <c r="F18">
        <v>0.88</v>
      </c>
      <c r="G18">
        <v>31.62</v>
      </c>
      <c r="H18">
        <v>72</v>
      </c>
      <c r="I18">
        <f t="shared" si="0"/>
        <v>6</v>
      </c>
      <c r="O18" s="2"/>
    </row>
    <row r="19" spans="1:15">
      <c r="A19">
        <v>92</v>
      </c>
      <c r="B19">
        <v>99.25</v>
      </c>
      <c r="C19">
        <v>83</v>
      </c>
      <c r="D19" s="1">
        <v>1.0648148148148149E-3</v>
      </c>
      <c r="E19">
        <v>0.82</v>
      </c>
      <c r="F19">
        <v>0.97</v>
      </c>
      <c r="G19">
        <v>31.44</v>
      </c>
      <c r="H19">
        <v>72</v>
      </c>
      <c r="I19">
        <f t="shared" si="0"/>
        <v>11</v>
      </c>
      <c r="O19" s="2"/>
    </row>
    <row r="20" spans="1:15">
      <c r="A20">
        <v>96</v>
      </c>
      <c r="B20">
        <v>98.8</v>
      </c>
      <c r="C20">
        <v>78</v>
      </c>
      <c r="D20" s="1">
        <v>1.1111111111111111E-3</v>
      </c>
      <c r="E20">
        <v>0.79</v>
      </c>
      <c r="F20">
        <v>0.98</v>
      </c>
      <c r="G20">
        <v>31.56</v>
      </c>
      <c r="H20">
        <v>72</v>
      </c>
      <c r="I20">
        <f t="shared" si="0"/>
        <v>6</v>
      </c>
      <c r="O20" s="2"/>
    </row>
    <row r="21" spans="1:15">
      <c r="A21">
        <v>100</v>
      </c>
      <c r="B21">
        <v>97.98</v>
      </c>
      <c r="C21">
        <v>83</v>
      </c>
      <c r="D21" s="1">
        <v>1.1574074074074073E-3</v>
      </c>
      <c r="E21">
        <v>0.77</v>
      </c>
      <c r="F21">
        <v>0.85</v>
      </c>
      <c r="G21">
        <v>31.69</v>
      </c>
      <c r="H21">
        <v>72</v>
      </c>
      <c r="I21">
        <f t="shared" si="0"/>
        <v>11</v>
      </c>
      <c r="O21" s="2"/>
    </row>
    <row r="22" spans="1:15">
      <c r="A22">
        <v>108</v>
      </c>
      <c r="B22">
        <v>98.25</v>
      </c>
      <c r="C22">
        <v>78</v>
      </c>
      <c r="D22" s="1">
        <v>1.25E-3</v>
      </c>
      <c r="E22">
        <v>0.76</v>
      </c>
      <c r="F22">
        <v>0.84</v>
      </c>
      <c r="G22">
        <v>31.44</v>
      </c>
      <c r="H22">
        <v>72</v>
      </c>
      <c r="I22">
        <f t="shared" si="0"/>
        <v>6</v>
      </c>
      <c r="O22" s="2"/>
    </row>
    <row r="23" spans="1:15">
      <c r="A23">
        <v>112</v>
      </c>
      <c r="B23">
        <v>97.81</v>
      </c>
      <c r="C23">
        <v>83</v>
      </c>
      <c r="D23" s="1">
        <v>1.2962962962962963E-3</v>
      </c>
      <c r="E23">
        <v>0.69</v>
      </c>
      <c r="F23">
        <v>0.96</v>
      </c>
      <c r="G23">
        <v>31.37</v>
      </c>
      <c r="H23">
        <v>72</v>
      </c>
      <c r="I23">
        <f t="shared" si="0"/>
        <v>11</v>
      </c>
      <c r="O23" s="2"/>
    </row>
    <row r="24" spans="1:15">
      <c r="A24">
        <v>116</v>
      </c>
      <c r="B24">
        <v>98.5</v>
      </c>
      <c r="C24">
        <v>75</v>
      </c>
      <c r="D24" s="1">
        <v>1.3425925925925925E-3</v>
      </c>
      <c r="E24">
        <v>0.64</v>
      </c>
      <c r="F24">
        <v>0.95</v>
      </c>
      <c r="G24">
        <v>31.44</v>
      </c>
      <c r="H24">
        <v>72</v>
      </c>
      <c r="I24">
        <f t="shared" si="0"/>
        <v>3</v>
      </c>
      <c r="O24" s="2"/>
    </row>
    <row r="25" spans="1:15">
      <c r="A25">
        <v>120</v>
      </c>
      <c r="B25">
        <v>98.96</v>
      </c>
      <c r="C25">
        <v>88</v>
      </c>
      <c r="D25" s="1">
        <v>1.3888888888888889E-3</v>
      </c>
      <c r="E25">
        <v>0.8</v>
      </c>
      <c r="F25">
        <v>0.82</v>
      </c>
      <c r="G25">
        <v>31.25</v>
      </c>
      <c r="H25">
        <v>72</v>
      </c>
      <c r="I25">
        <f t="shared" si="0"/>
        <v>16</v>
      </c>
      <c r="O25" s="2"/>
    </row>
    <row r="26" spans="1:15">
      <c r="A26">
        <v>128</v>
      </c>
      <c r="B26">
        <v>97.96</v>
      </c>
      <c r="C26">
        <v>88</v>
      </c>
      <c r="D26" s="1">
        <v>1.4814814814814814E-3</v>
      </c>
      <c r="E26">
        <v>0.76</v>
      </c>
      <c r="F26">
        <v>0.96</v>
      </c>
      <c r="G26">
        <v>31.44</v>
      </c>
      <c r="H26">
        <v>72</v>
      </c>
      <c r="I26">
        <f t="shared" si="0"/>
        <v>16</v>
      </c>
      <c r="O26" s="2"/>
    </row>
    <row r="27" spans="1:15">
      <c r="A27">
        <v>132</v>
      </c>
      <c r="B27">
        <v>98.67</v>
      </c>
      <c r="C27">
        <v>75</v>
      </c>
      <c r="D27" s="1">
        <v>1.5277777777777779E-3</v>
      </c>
      <c r="E27">
        <v>0.57999999999999996</v>
      </c>
      <c r="F27">
        <v>0.98</v>
      </c>
      <c r="G27">
        <v>31.06</v>
      </c>
      <c r="H27">
        <v>72</v>
      </c>
      <c r="I27">
        <f t="shared" si="0"/>
        <v>3</v>
      </c>
      <c r="O27" s="2"/>
    </row>
    <row r="28" spans="1:15">
      <c r="A28">
        <v>136</v>
      </c>
      <c r="B28">
        <v>99.08</v>
      </c>
      <c r="C28">
        <v>83</v>
      </c>
      <c r="D28" s="1">
        <v>1.5740740740740741E-3</v>
      </c>
      <c r="E28">
        <v>0.92</v>
      </c>
      <c r="F28">
        <v>0.99</v>
      </c>
      <c r="G28">
        <v>31.19</v>
      </c>
      <c r="H28">
        <v>72</v>
      </c>
      <c r="I28">
        <f t="shared" si="0"/>
        <v>11</v>
      </c>
      <c r="O28" s="2"/>
    </row>
    <row r="29" spans="1:15">
      <c r="A29">
        <v>140</v>
      </c>
      <c r="B29">
        <v>98.81</v>
      </c>
      <c r="C29">
        <v>83</v>
      </c>
      <c r="D29" s="1">
        <v>1.6203703703703703E-3</v>
      </c>
      <c r="E29">
        <v>0.8</v>
      </c>
      <c r="F29">
        <v>0.98</v>
      </c>
      <c r="G29">
        <v>31.37</v>
      </c>
      <c r="H29">
        <v>72</v>
      </c>
      <c r="I29">
        <f t="shared" si="0"/>
        <v>11</v>
      </c>
      <c r="O29" s="2"/>
    </row>
    <row r="30" spans="1:15">
      <c r="O30" s="2"/>
    </row>
    <row r="31" spans="1:15">
      <c r="O31" s="2"/>
    </row>
    <row r="32" spans="1:15">
      <c r="O32" s="2"/>
    </row>
    <row r="33" spans="15:15">
      <c r="O33" s="2"/>
    </row>
    <row r="34" spans="15:15">
      <c r="O34" s="2"/>
    </row>
    <row r="35" spans="15:15">
      <c r="O35" s="2"/>
    </row>
    <row r="36" spans="15:15">
      <c r="O36" s="2"/>
    </row>
    <row r="37" spans="15:15">
      <c r="O37" s="2"/>
    </row>
    <row r="38" spans="15:15">
      <c r="O38" s="2"/>
    </row>
    <row r="39" spans="15:15">
      <c r="O39" s="2"/>
    </row>
    <row r="40" spans="15:15">
      <c r="O40" s="2"/>
    </row>
    <row r="41" spans="15:15">
      <c r="O41" s="2"/>
    </row>
    <row r="42" spans="15:15">
      <c r="O42" s="2"/>
    </row>
    <row r="43" spans="15:15">
      <c r="O43" s="2"/>
    </row>
    <row r="44" spans="15:15">
      <c r="O44" s="2"/>
    </row>
    <row r="45" spans="15:15">
      <c r="O45" s="2"/>
    </row>
    <row r="46" spans="15:15">
      <c r="O46" s="2"/>
    </row>
    <row r="47" spans="15:15">
      <c r="O47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6DF-FC9E-4713-BBBA-E2A6099C1388}">
  <dimension ref="A1:M47"/>
  <sheetViews>
    <sheetView tabSelected="1" zoomScale="85" zoomScaleNormal="85" workbookViewId="0">
      <selection activeCell="I1" sqref="H1:I1"/>
    </sheetView>
  </sheetViews>
  <sheetFormatPr defaultRowHeight="14.75"/>
  <cols>
    <col min="8" max="8" width="29.1796875" bestFit="1" customWidth="1"/>
  </cols>
  <sheetData>
    <row r="1" spans="1:9" ht="4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11</v>
      </c>
      <c r="I1" s="5" t="s">
        <v>10</v>
      </c>
    </row>
    <row r="2" spans="1:9">
      <c r="A2">
        <v>32</v>
      </c>
      <c r="B2">
        <v>99.38</v>
      </c>
      <c r="C2">
        <v>78</v>
      </c>
      <c r="D2" s="1">
        <v>3.7037037037037035E-4</v>
      </c>
      <c r="E2">
        <v>0.85</v>
      </c>
      <c r="F2">
        <v>0.92</v>
      </c>
      <c r="G2">
        <v>26.12</v>
      </c>
      <c r="H2">
        <v>75</v>
      </c>
      <c r="I2">
        <f>ABS(H2-C2)</f>
        <v>3</v>
      </c>
    </row>
    <row r="3" spans="1:9">
      <c r="A3">
        <v>36</v>
      </c>
      <c r="B3">
        <v>99.79</v>
      </c>
      <c r="C3">
        <v>71</v>
      </c>
      <c r="D3" s="1">
        <v>4.1666666666666669E-4</v>
      </c>
      <c r="E3">
        <v>0.66</v>
      </c>
      <c r="F3">
        <v>0.81</v>
      </c>
      <c r="G3">
        <v>26.37</v>
      </c>
      <c r="H3">
        <v>75</v>
      </c>
      <c r="I3">
        <f t="shared" ref="I3:I47" si="0">ABS(H3-C3)</f>
        <v>4</v>
      </c>
    </row>
    <row r="4" spans="1:9">
      <c r="A4">
        <v>44</v>
      </c>
      <c r="B4">
        <v>99.81</v>
      </c>
      <c r="C4">
        <v>71</v>
      </c>
      <c r="D4" s="1">
        <v>5.0925925925925921E-4</v>
      </c>
      <c r="E4">
        <v>0.59</v>
      </c>
      <c r="F4">
        <v>0.86</v>
      </c>
      <c r="G4">
        <v>26.12</v>
      </c>
      <c r="H4">
        <v>75</v>
      </c>
      <c r="I4">
        <f t="shared" si="0"/>
        <v>4</v>
      </c>
    </row>
    <row r="5" spans="1:9">
      <c r="A5">
        <v>48</v>
      </c>
      <c r="B5">
        <v>99.87</v>
      </c>
      <c r="C5">
        <v>83</v>
      </c>
      <c r="D5" s="1">
        <v>5.5555555555555556E-4</v>
      </c>
      <c r="E5">
        <v>0.86</v>
      </c>
      <c r="F5">
        <v>0.92</v>
      </c>
      <c r="G5">
        <v>26.19</v>
      </c>
      <c r="H5">
        <v>75</v>
      </c>
      <c r="I5">
        <f t="shared" si="0"/>
        <v>8</v>
      </c>
    </row>
    <row r="6" spans="1:9">
      <c r="A6">
        <v>52</v>
      </c>
      <c r="B6">
        <v>99</v>
      </c>
      <c r="C6">
        <v>78</v>
      </c>
      <c r="D6" s="1">
        <v>6.018518518518519E-4</v>
      </c>
      <c r="E6">
        <v>0.69</v>
      </c>
      <c r="F6">
        <v>0.87</v>
      </c>
      <c r="G6">
        <v>26.25</v>
      </c>
      <c r="H6">
        <v>75</v>
      </c>
      <c r="I6">
        <f t="shared" si="0"/>
        <v>3</v>
      </c>
    </row>
    <row r="7" spans="1:9">
      <c r="A7">
        <v>60</v>
      </c>
      <c r="B7">
        <v>99.83</v>
      </c>
      <c r="C7">
        <v>75</v>
      </c>
      <c r="D7" s="1">
        <v>6.9444444444444447E-4</v>
      </c>
      <c r="E7">
        <v>0.82</v>
      </c>
      <c r="F7">
        <v>0.96</v>
      </c>
      <c r="G7">
        <v>26.56</v>
      </c>
      <c r="H7">
        <v>75</v>
      </c>
      <c r="I7">
        <f t="shared" si="0"/>
        <v>0</v>
      </c>
    </row>
    <row r="8" spans="1:9">
      <c r="A8">
        <v>64</v>
      </c>
      <c r="B8">
        <v>97.61</v>
      </c>
      <c r="C8">
        <v>78</v>
      </c>
      <c r="D8" s="1">
        <v>7.407407407407407E-4</v>
      </c>
      <c r="E8">
        <v>0.56999999999999995</v>
      </c>
      <c r="F8">
        <v>0.91</v>
      </c>
      <c r="G8">
        <v>26.12</v>
      </c>
      <c r="H8">
        <v>75</v>
      </c>
      <c r="I8">
        <f t="shared" si="0"/>
        <v>3</v>
      </c>
    </row>
    <row r="9" spans="1:9">
      <c r="A9">
        <v>68</v>
      </c>
      <c r="B9">
        <v>99.48</v>
      </c>
      <c r="C9">
        <v>75</v>
      </c>
      <c r="D9" s="1">
        <v>7.8703703703703705E-4</v>
      </c>
      <c r="E9">
        <v>0.77</v>
      </c>
      <c r="F9">
        <v>0.93</v>
      </c>
      <c r="G9">
        <v>26.25</v>
      </c>
      <c r="H9">
        <v>75</v>
      </c>
      <c r="I9">
        <f t="shared" si="0"/>
        <v>0</v>
      </c>
    </row>
    <row r="10" spans="1:9">
      <c r="A10">
        <v>72</v>
      </c>
      <c r="B10">
        <v>99.14</v>
      </c>
      <c r="C10">
        <v>78</v>
      </c>
      <c r="D10" s="1">
        <v>8.3333333333333339E-4</v>
      </c>
      <c r="E10">
        <v>0.81</v>
      </c>
      <c r="F10">
        <v>0.95</v>
      </c>
      <c r="G10">
        <v>26.5</v>
      </c>
      <c r="H10">
        <v>75</v>
      </c>
      <c r="I10">
        <f t="shared" si="0"/>
        <v>3</v>
      </c>
    </row>
    <row r="11" spans="1:9">
      <c r="A11">
        <v>76</v>
      </c>
      <c r="B11">
        <v>99.67</v>
      </c>
      <c r="C11">
        <v>78</v>
      </c>
      <c r="D11" s="1">
        <v>8.7962962962962962E-4</v>
      </c>
      <c r="E11">
        <v>0.77</v>
      </c>
      <c r="F11">
        <v>0.95</v>
      </c>
      <c r="G11">
        <v>26.37</v>
      </c>
      <c r="H11">
        <v>75</v>
      </c>
      <c r="I11">
        <f t="shared" si="0"/>
        <v>3</v>
      </c>
    </row>
    <row r="12" spans="1:9">
      <c r="A12">
        <v>80</v>
      </c>
      <c r="B12">
        <v>99.08</v>
      </c>
      <c r="C12">
        <v>88</v>
      </c>
      <c r="D12" s="1">
        <v>9.2592592592592596E-4</v>
      </c>
      <c r="E12">
        <v>0.66</v>
      </c>
      <c r="F12">
        <v>0.96</v>
      </c>
      <c r="G12">
        <v>26.37</v>
      </c>
      <c r="H12">
        <v>75</v>
      </c>
      <c r="I12">
        <f t="shared" si="0"/>
        <v>13</v>
      </c>
    </row>
    <row r="13" spans="1:9">
      <c r="A13">
        <v>84</v>
      </c>
      <c r="B13">
        <v>99.29</v>
      </c>
      <c r="C13">
        <v>83</v>
      </c>
      <c r="D13" s="1">
        <v>9.7222222222222219E-4</v>
      </c>
      <c r="E13">
        <v>0.72</v>
      </c>
      <c r="F13">
        <v>0.89</v>
      </c>
      <c r="G13">
        <v>26.56</v>
      </c>
      <c r="H13">
        <v>75</v>
      </c>
      <c r="I13">
        <f t="shared" si="0"/>
        <v>8</v>
      </c>
    </row>
    <row r="14" spans="1:9">
      <c r="A14">
        <v>88</v>
      </c>
      <c r="B14">
        <v>99.05</v>
      </c>
      <c r="C14">
        <v>83</v>
      </c>
      <c r="D14" s="1">
        <v>1.0185185185185184E-3</v>
      </c>
      <c r="E14">
        <v>0.84</v>
      </c>
      <c r="F14">
        <v>0.93</v>
      </c>
      <c r="G14">
        <v>26.5</v>
      </c>
      <c r="H14">
        <v>75</v>
      </c>
      <c r="I14">
        <f t="shared" si="0"/>
        <v>8</v>
      </c>
    </row>
    <row r="15" spans="1:9">
      <c r="A15">
        <v>92</v>
      </c>
      <c r="B15">
        <v>99.45</v>
      </c>
      <c r="C15">
        <v>83</v>
      </c>
      <c r="D15" s="1">
        <v>1.0648148148148149E-3</v>
      </c>
      <c r="E15">
        <v>0.66</v>
      </c>
      <c r="F15">
        <v>0.95</v>
      </c>
      <c r="G15">
        <v>26.12</v>
      </c>
      <c r="H15">
        <v>75</v>
      </c>
      <c r="I15">
        <f t="shared" si="0"/>
        <v>8</v>
      </c>
    </row>
    <row r="16" spans="1:9">
      <c r="A16">
        <v>96</v>
      </c>
      <c r="B16">
        <v>99.11</v>
      </c>
      <c r="C16">
        <v>83</v>
      </c>
      <c r="D16" s="1">
        <v>1.1111111111111111E-3</v>
      </c>
      <c r="E16">
        <v>0.88</v>
      </c>
      <c r="F16">
        <v>0.91</v>
      </c>
      <c r="G16">
        <v>26.25</v>
      </c>
      <c r="H16">
        <v>75</v>
      </c>
      <c r="I16">
        <f t="shared" si="0"/>
        <v>8</v>
      </c>
    </row>
    <row r="17" spans="1:9">
      <c r="A17">
        <v>100</v>
      </c>
      <c r="B17">
        <v>99.13</v>
      </c>
      <c r="C17">
        <v>83</v>
      </c>
      <c r="D17" s="1">
        <v>1.1574074074074073E-3</v>
      </c>
      <c r="E17">
        <v>0.81</v>
      </c>
      <c r="F17">
        <v>0.92</v>
      </c>
      <c r="G17">
        <v>26.31</v>
      </c>
      <c r="H17">
        <v>75</v>
      </c>
      <c r="I17">
        <f t="shared" si="0"/>
        <v>8</v>
      </c>
    </row>
    <row r="18" spans="1:9">
      <c r="A18">
        <v>104</v>
      </c>
      <c r="B18">
        <v>98.7</v>
      </c>
      <c r="C18">
        <v>78</v>
      </c>
      <c r="D18" s="1">
        <v>1.2037037037037038E-3</v>
      </c>
      <c r="E18">
        <v>0.91</v>
      </c>
      <c r="F18">
        <v>0.89</v>
      </c>
      <c r="G18">
        <v>26.37</v>
      </c>
      <c r="H18">
        <v>75</v>
      </c>
      <c r="I18">
        <f t="shared" si="0"/>
        <v>3</v>
      </c>
    </row>
    <row r="19" spans="1:9">
      <c r="A19">
        <v>112</v>
      </c>
      <c r="B19">
        <v>99.16</v>
      </c>
      <c r="C19">
        <v>75</v>
      </c>
      <c r="D19" s="1">
        <v>1.2962962962962963E-3</v>
      </c>
      <c r="E19">
        <v>0.62</v>
      </c>
      <c r="F19">
        <v>0.9</v>
      </c>
      <c r="G19">
        <v>26.19</v>
      </c>
      <c r="H19">
        <v>75</v>
      </c>
      <c r="I19">
        <f t="shared" si="0"/>
        <v>0</v>
      </c>
    </row>
    <row r="20" spans="1:9">
      <c r="A20">
        <v>116</v>
      </c>
      <c r="B20">
        <v>98.02</v>
      </c>
      <c r="C20">
        <v>75</v>
      </c>
      <c r="D20" s="1">
        <v>1.3425925925925925E-3</v>
      </c>
      <c r="E20">
        <v>0.63</v>
      </c>
      <c r="F20">
        <v>0.96</v>
      </c>
      <c r="G20">
        <v>26.44</v>
      </c>
      <c r="H20">
        <v>75</v>
      </c>
      <c r="I20">
        <f t="shared" si="0"/>
        <v>0</v>
      </c>
    </row>
    <row r="21" spans="1:9">
      <c r="A21">
        <v>120</v>
      </c>
      <c r="B21">
        <v>98.38</v>
      </c>
      <c r="C21">
        <v>75</v>
      </c>
      <c r="D21" s="1">
        <v>1.3888888888888889E-3</v>
      </c>
      <c r="E21">
        <v>0.51</v>
      </c>
      <c r="F21">
        <v>0.97</v>
      </c>
      <c r="G21">
        <v>26.31</v>
      </c>
      <c r="H21">
        <v>75</v>
      </c>
      <c r="I21">
        <f t="shared" si="0"/>
        <v>0</v>
      </c>
    </row>
    <row r="22" spans="1:9">
      <c r="A22">
        <v>124</v>
      </c>
      <c r="B22">
        <v>99.4</v>
      </c>
      <c r="C22">
        <v>75</v>
      </c>
      <c r="D22" s="1">
        <v>1.4351851851851852E-3</v>
      </c>
      <c r="E22">
        <v>0.63</v>
      </c>
      <c r="F22">
        <v>0.98</v>
      </c>
      <c r="G22">
        <v>26.25</v>
      </c>
      <c r="H22">
        <v>75</v>
      </c>
      <c r="I22">
        <f t="shared" si="0"/>
        <v>0</v>
      </c>
    </row>
    <row r="23" spans="1:9">
      <c r="A23">
        <v>128</v>
      </c>
      <c r="B23">
        <v>99.63</v>
      </c>
      <c r="C23">
        <v>75</v>
      </c>
      <c r="D23" s="1">
        <v>1.4814814814814814E-3</v>
      </c>
      <c r="E23">
        <v>0.8</v>
      </c>
      <c r="F23">
        <v>0.97</v>
      </c>
      <c r="G23">
        <v>26.19</v>
      </c>
      <c r="H23">
        <v>75</v>
      </c>
      <c r="I23">
        <f t="shared" si="0"/>
        <v>0</v>
      </c>
    </row>
    <row r="24" spans="1:9">
      <c r="A24">
        <v>132</v>
      </c>
      <c r="B24">
        <v>98.96</v>
      </c>
      <c r="C24">
        <v>75</v>
      </c>
      <c r="D24" s="1">
        <v>1.5277777777777779E-3</v>
      </c>
      <c r="E24">
        <v>0.62</v>
      </c>
      <c r="F24">
        <v>0.97</v>
      </c>
      <c r="G24">
        <v>26.25</v>
      </c>
      <c r="H24">
        <v>75</v>
      </c>
      <c r="I24">
        <f t="shared" si="0"/>
        <v>0</v>
      </c>
    </row>
    <row r="25" spans="1:9">
      <c r="A25">
        <v>140</v>
      </c>
      <c r="B25">
        <v>99.47</v>
      </c>
      <c r="C25">
        <v>78</v>
      </c>
      <c r="D25" s="1">
        <v>1.6203703703703703E-3</v>
      </c>
      <c r="E25">
        <v>0.65</v>
      </c>
      <c r="F25">
        <v>0.96</v>
      </c>
      <c r="G25">
        <v>26.19</v>
      </c>
      <c r="H25">
        <v>75</v>
      </c>
      <c r="I25">
        <f t="shared" si="0"/>
        <v>3</v>
      </c>
    </row>
    <row r="26" spans="1:9">
      <c r="A26">
        <v>144</v>
      </c>
      <c r="B26">
        <v>99.53</v>
      </c>
      <c r="C26">
        <v>83</v>
      </c>
      <c r="D26" s="1">
        <v>1.6666666666666668E-3</v>
      </c>
      <c r="E26">
        <v>0.79</v>
      </c>
      <c r="F26">
        <v>0.97</v>
      </c>
      <c r="G26">
        <v>26.44</v>
      </c>
      <c r="H26">
        <v>75</v>
      </c>
      <c r="I26">
        <f t="shared" si="0"/>
        <v>8</v>
      </c>
    </row>
    <row r="27" spans="1:9">
      <c r="A27">
        <v>148</v>
      </c>
      <c r="B27">
        <v>99.64</v>
      </c>
      <c r="C27">
        <v>75</v>
      </c>
      <c r="D27" s="1">
        <v>1.712962962962963E-3</v>
      </c>
      <c r="E27">
        <v>0.65</v>
      </c>
      <c r="F27">
        <v>0.98</v>
      </c>
      <c r="G27">
        <v>26.25</v>
      </c>
      <c r="H27">
        <v>75</v>
      </c>
      <c r="I27">
        <f t="shared" si="0"/>
        <v>0</v>
      </c>
    </row>
    <row r="28" spans="1:9">
      <c r="A28">
        <v>152</v>
      </c>
      <c r="B28">
        <v>99.66</v>
      </c>
      <c r="C28">
        <v>88</v>
      </c>
      <c r="D28" s="1">
        <v>1.7592592592592592E-3</v>
      </c>
      <c r="E28">
        <v>0.72</v>
      </c>
      <c r="F28">
        <v>0.95</v>
      </c>
      <c r="G28">
        <v>26.37</v>
      </c>
      <c r="H28">
        <v>75</v>
      </c>
      <c r="I28">
        <f t="shared" si="0"/>
        <v>13</v>
      </c>
    </row>
    <row r="29" spans="1:9">
      <c r="A29">
        <v>160</v>
      </c>
      <c r="B29">
        <v>99.32</v>
      </c>
      <c r="C29">
        <v>83</v>
      </c>
      <c r="D29" s="1">
        <v>1.8518518518518519E-3</v>
      </c>
      <c r="E29">
        <v>0.81</v>
      </c>
      <c r="F29">
        <v>0.94</v>
      </c>
      <c r="G29">
        <v>26.69</v>
      </c>
      <c r="H29">
        <v>75</v>
      </c>
      <c r="I29">
        <f t="shared" si="0"/>
        <v>8</v>
      </c>
    </row>
    <row r="30" spans="1:9">
      <c r="A30">
        <v>164</v>
      </c>
      <c r="B30">
        <v>99.07</v>
      </c>
      <c r="C30">
        <v>71</v>
      </c>
      <c r="D30" s="1">
        <v>1.8981481481481482E-3</v>
      </c>
      <c r="E30">
        <v>0.74</v>
      </c>
      <c r="F30">
        <v>0.95</v>
      </c>
      <c r="G30">
        <v>26.62</v>
      </c>
      <c r="H30">
        <v>75</v>
      </c>
      <c r="I30">
        <f t="shared" si="0"/>
        <v>4</v>
      </c>
    </row>
    <row r="31" spans="1:9">
      <c r="A31">
        <v>168</v>
      </c>
      <c r="B31">
        <v>99.69</v>
      </c>
      <c r="C31">
        <v>75</v>
      </c>
      <c r="D31" s="1">
        <v>1.9444444444444444E-3</v>
      </c>
      <c r="E31">
        <v>0.82</v>
      </c>
      <c r="F31">
        <v>0.96</v>
      </c>
      <c r="G31">
        <v>26.62</v>
      </c>
      <c r="H31">
        <v>75</v>
      </c>
      <c r="I31">
        <f t="shared" si="0"/>
        <v>0</v>
      </c>
    </row>
    <row r="32" spans="1:9">
      <c r="A32">
        <v>172</v>
      </c>
      <c r="B32">
        <v>99.31</v>
      </c>
      <c r="C32">
        <v>78</v>
      </c>
      <c r="D32" s="1">
        <v>1.9907407407407408E-3</v>
      </c>
      <c r="E32">
        <v>0.83</v>
      </c>
      <c r="F32">
        <v>0.9</v>
      </c>
      <c r="G32">
        <v>26.31</v>
      </c>
      <c r="H32">
        <v>75</v>
      </c>
      <c r="I32">
        <f t="shared" si="0"/>
        <v>3</v>
      </c>
    </row>
    <row r="33" spans="1:13">
      <c r="A33">
        <v>180</v>
      </c>
      <c r="B33">
        <v>99.76</v>
      </c>
      <c r="C33">
        <v>78</v>
      </c>
      <c r="D33" s="1">
        <v>2.0833333333333333E-3</v>
      </c>
      <c r="E33">
        <v>0.86</v>
      </c>
      <c r="F33">
        <v>0.98</v>
      </c>
      <c r="G33">
        <v>26.12</v>
      </c>
      <c r="H33">
        <v>75</v>
      </c>
      <c r="I33">
        <f t="shared" si="0"/>
        <v>3</v>
      </c>
    </row>
    <row r="34" spans="1:13">
      <c r="A34">
        <v>184</v>
      </c>
      <c r="B34">
        <v>99.59</v>
      </c>
      <c r="C34">
        <v>78</v>
      </c>
      <c r="D34" s="1">
        <v>2.1296296296296298E-3</v>
      </c>
      <c r="E34">
        <v>0.72</v>
      </c>
      <c r="F34">
        <v>0.95</v>
      </c>
      <c r="G34">
        <v>26.5</v>
      </c>
      <c r="H34">
        <v>75</v>
      </c>
      <c r="I34">
        <f t="shared" si="0"/>
        <v>3</v>
      </c>
    </row>
    <row r="35" spans="1:13">
      <c r="A35">
        <v>188</v>
      </c>
      <c r="B35">
        <v>99.78</v>
      </c>
      <c r="C35">
        <v>71</v>
      </c>
      <c r="D35" s="1">
        <v>2.1759259259259258E-3</v>
      </c>
      <c r="E35">
        <v>0.82</v>
      </c>
      <c r="F35">
        <v>0.98</v>
      </c>
      <c r="G35">
        <v>26.25</v>
      </c>
      <c r="H35">
        <v>75</v>
      </c>
      <c r="I35">
        <f t="shared" si="0"/>
        <v>4</v>
      </c>
    </row>
    <row r="36" spans="1:13">
      <c r="A36">
        <v>192</v>
      </c>
      <c r="B36">
        <v>99.7</v>
      </c>
      <c r="C36">
        <v>83</v>
      </c>
      <c r="D36" s="1">
        <v>2.2222222222222222E-3</v>
      </c>
      <c r="E36">
        <v>0.6</v>
      </c>
      <c r="F36">
        <v>0.97</v>
      </c>
      <c r="G36">
        <v>26.19</v>
      </c>
      <c r="H36">
        <v>75</v>
      </c>
      <c r="I36">
        <f t="shared" si="0"/>
        <v>8</v>
      </c>
      <c r="K36" t="s">
        <v>7</v>
      </c>
      <c r="L36" t="s">
        <v>9</v>
      </c>
      <c r="M36" t="s">
        <v>8</v>
      </c>
    </row>
    <row r="37" spans="1:13">
      <c r="A37">
        <v>196</v>
      </c>
      <c r="B37">
        <v>98.59</v>
      </c>
      <c r="C37">
        <v>83</v>
      </c>
      <c r="D37" s="1">
        <v>2.2685185185185187E-3</v>
      </c>
      <c r="E37">
        <v>0.65</v>
      </c>
      <c r="F37">
        <v>0.93</v>
      </c>
      <c r="G37">
        <v>26.12</v>
      </c>
      <c r="H37">
        <v>75</v>
      </c>
      <c r="I37">
        <f t="shared" si="0"/>
        <v>8</v>
      </c>
      <c r="K37">
        <f>AVERAGE(C2:C47)</f>
        <v>78.521739130434781</v>
      </c>
      <c r="L37">
        <f>MIN(C2:C47)</f>
        <v>71</v>
      </c>
      <c r="M37">
        <f>MAX(C2:C47)</f>
        <v>88</v>
      </c>
    </row>
    <row r="38" spans="1:13">
      <c r="A38">
        <v>200</v>
      </c>
      <c r="B38">
        <v>99.23</v>
      </c>
      <c r="C38">
        <v>78</v>
      </c>
      <c r="D38" s="1">
        <v>2.3148148148148147E-3</v>
      </c>
      <c r="E38">
        <v>0.53</v>
      </c>
      <c r="F38">
        <v>0.95</v>
      </c>
      <c r="G38">
        <v>26.19</v>
      </c>
      <c r="H38">
        <v>75</v>
      </c>
      <c r="I38">
        <f t="shared" si="0"/>
        <v>3</v>
      </c>
      <c r="K38">
        <f>AVERAGE(B2:B47)</f>
        <v>99.243695652173912</v>
      </c>
      <c r="L38">
        <f>MIN(B2:B47)</f>
        <v>97.61</v>
      </c>
      <c r="M38">
        <f>MAX(B2:B47)</f>
        <v>99.87</v>
      </c>
    </row>
    <row r="39" spans="1:13">
      <c r="A39">
        <v>204</v>
      </c>
      <c r="B39">
        <v>99.68</v>
      </c>
      <c r="C39">
        <v>75</v>
      </c>
      <c r="D39" s="1">
        <v>2.3611111111111111E-3</v>
      </c>
      <c r="E39">
        <v>0.9</v>
      </c>
      <c r="F39">
        <v>0.97</v>
      </c>
      <c r="G39">
        <v>26.25</v>
      </c>
      <c r="H39">
        <v>75</v>
      </c>
      <c r="I39">
        <f t="shared" si="0"/>
        <v>0</v>
      </c>
    </row>
    <row r="40" spans="1:13">
      <c r="A40">
        <v>208</v>
      </c>
      <c r="B40">
        <v>99.46</v>
      </c>
      <c r="C40">
        <v>71</v>
      </c>
      <c r="D40" s="1">
        <v>2.4074074074074076E-3</v>
      </c>
      <c r="E40">
        <v>0.75</v>
      </c>
      <c r="F40">
        <v>0.95</v>
      </c>
      <c r="G40">
        <v>26.31</v>
      </c>
      <c r="H40">
        <v>75</v>
      </c>
      <c r="I40">
        <f t="shared" si="0"/>
        <v>4</v>
      </c>
      <c r="K40">
        <f>AVERAGE(F2:F47)</f>
        <v>0.93956521739130427</v>
      </c>
    </row>
    <row r="41" spans="1:13">
      <c r="A41">
        <v>212</v>
      </c>
      <c r="B41">
        <v>99.06</v>
      </c>
      <c r="C41">
        <v>75</v>
      </c>
      <c r="D41" s="1">
        <v>2.4537037037037036E-3</v>
      </c>
      <c r="E41">
        <v>0.68</v>
      </c>
      <c r="F41">
        <v>0.94</v>
      </c>
      <c r="G41">
        <v>26.37</v>
      </c>
      <c r="H41">
        <v>75</v>
      </c>
      <c r="I41">
        <f t="shared" si="0"/>
        <v>0</v>
      </c>
    </row>
    <row r="42" spans="1:13">
      <c r="A42">
        <v>216</v>
      </c>
      <c r="B42">
        <v>99.21</v>
      </c>
      <c r="C42">
        <v>78</v>
      </c>
      <c r="D42" s="1">
        <v>2.5000000000000001E-3</v>
      </c>
      <c r="E42">
        <v>0.68</v>
      </c>
      <c r="F42">
        <v>0.96</v>
      </c>
      <c r="G42">
        <v>26.19</v>
      </c>
      <c r="H42">
        <v>75</v>
      </c>
      <c r="I42">
        <f t="shared" si="0"/>
        <v>3</v>
      </c>
    </row>
    <row r="43" spans="1:13">
      <c r="A43">
        <v>220</v>
      </c>
      <c r="B43">
        <v>99.59</v>
      </c>
      <c r="C43">
        <v>88</v>
      </c>
      <c r="D43" s="1">
        <v>2.5462962962962965E-3</v>
      </c>
      <c r="E43">
        <v>0.66</v>
      </c>
      <c r="F43">
        <v>0.98</v>
      </c>
      <c r="G43">
        <v>26.12</v>
      </c>
      <c r="H43">
        <v>75</v>
      </c>
      <c r="I43">
        <f t="shared" si="0"/>
        <v>13</v>
      </c>
    </row>
    <row r="44" spans="1:13">
      <c r="A44">
        <v>224</v>
      </c>
      <c r="B44">
        <v>99.4</v>
      </c>
      <c r="C44">
        <v>83</v>
      </c>
      <c r="D44" s="1">
        <v>2.5925925925925925E-3</v>
      </c>
      <c r="E44">
        <v>0.77</v>
      </c>
      <c r="F44">
        <v>0.96</v>
      </c>
      <c r="G44">
        <v>26.25</v>
      </c>
      <c r="H44">
        <v>75</v>
      </c>
      <c r="I44">
        <f t="shared" si="0"/>
        <v>8</v>
      </c>
    </row>
    <row r="45" spans="1:13">
      <c r="A45">
        <v>228</v>
      </c>
      <c r="B45">
        <v>98.05</v>
      </c>
      <c r="C45">
        <v>78</v>
      </c>
      <c r="D45" s="1">
        <v>2.638888888888889E-3</v>
      </c>
      <c r="E45">
        <v>0.54</v>
      </c>
      <c r="F45">
        <v>0.95</v>
      </c>
      <c r="G45">
        <v>26.12</v>
      </c>
      <c r="H45">
        <v>75</v>
      </c>
      <c r="I45">
        <f t="shared" si="0"/>
        <v>3</v>
      </c>
    </row>
    <row r="46" spans="1:13">
      <c r="A46">
        <v>232</v>
      </c>
      <c r="B46">
        <v>98.94</v>
      </c>
      <c r="C46">
        <v>83</v>
      </c>
      <c r="D46" s="1">
        <v>2.685185185185185E-3</v>
      </c>
      <c r="E46">
        <v>0.77</v>
      </c>
      <c r="F46">
        <v>0.96</v>
      </c>
      <c r="G46">
        <v>26.25</v>
      </c>
      <c r="H46">
        <v>75</v>
      </c>
      <c r="I46">
        <f t="shared" si="0"/>
        <v>8</v>
      </c>
    </row>
    <row r="47" spans="1:13">
      <c r="A47">
        <v>240</v>
      </c>
      <c r="B47">
        <v>98.54</v>
      </c>
      <c r="C47">
        <v>83</v>
      </c>
      <c r="D47" s="1">
        <v>2.7777777777777779E-3</v>
      </c>
      <c r="E47">
        <v>0.66</v>
      </c>
      <c r="F47">
        <v>0.9</v>
      </c>
      <c r="G47">
        <v>25.87</v>
      </c>
      <c r="H47">
        <v>75</v>
      </c>
      <c r="I47">
        <f t="shared" si="0"/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3BE1-97CC-42C1-ABD4-3AB7D07A8709}">
  <dimension ref="A1:K20"/>
  <sheetViews>
    <sheetView workbookViewId="0">
      <selection activeCell="K10" sqref="K10"/>
    </sheetView>
  </sheetViews>
  <sheetFormatPr defaultRowHeight="14.7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>
      <c r="A2">
        <v>8</v>
      </c>
      <c r="B2">
        <v>99.06</v>
      </c>
      <c r="C2">
        <v>71</v>
      </c>
      <c r="D2" s="1">
        <v>9.2592592592592588E-5</v>
      </c>
      <c r="E2">
        <v>0.74</v>
      </c>
      <c r="F2">
        <v>0.99</v>
      </c>
      <c r="G2">
        <v>29.31</v>
      </c>
    </row>
    <row r="3" spans="1:11">
      <c r="A3">
        <v>12</v>
      </c>
      <c r="B3">
        <v>99.18</v>
      </c>
      <c r="C3">
        <v>71</v>
      </c>
      <c r="D3" s="1">
        <v>1.3888888888888889E-4</v>
      </c>
      <c r="E3">
        <v>0.79</v>
      </c>
      <c r="F3" s="3">
        <v>0.99</v>
      </c>
      <c r="G3">
        <v>29.62</v>
      </c>
    </row>
    <row r="4" spans="1:11">
      <c r="A4">
        <v>16</v>
      </c>
      <c r="B4">
        <v>99.26</v>
      </c>
      <c r="C4">
        <v>75</v>
      </c>
      <c r="D4" s="1">
        <v>1.8518518518518518E-4</v>
      </c>
      <c r="E4">
        <v>0.81</v>
      </c>
      <c r="F4" s="3">
        <v>1</v>
      </c>
      <c r="G4">
        <v>30.25</v>
      </c>
    </row>
    <row r="5" spans="1:11">
      <c r="A5">
        <v>20</v>
      </c>
      <c r="B5">
        <v>99.12</v>
      </c>
      <c r="C5">
        <v>71</v>
      </c>
      <c r="D5" s="1">
        <v>2.3148148148148149E-4</v>
      </c>
      <c r="E5">
        <v>0.92</v>
      </c>
      <c r="F5">
        <v>1</v>
      </c>
      <c r="G5">
        <v>30.37</v>
      </c>
    </row>
    <row r="6" spans="1:11">
      <c r="A6">
        <v>24</v>
      </c>
      <c r="B6">
        <v>99.05</v>
      </c>
      <c r="C6">
        <v>75</v>
      </c>
      <c r="D6" s="1">
        <v>2.7777777777777778E-4</v>
      </c>
      <c r="E6">
        <v>0.91</v>
      </c>
      <c r="F6">
        <v>1</v>
      </c>
      <c r="G6">
        <v>30.81</v>
      </c>
    </row>
    <row r="7" spans="1:11">
      <c r="A7">
        <v>28</v>
      </c>
      <c r="B7">
        <v>99.12</v>
      </c>
      <c r="C7">
        <v>75</v>
      </c>
      <c r="D7" s="1">
        <v>3.2407407407407406E-4</v>
      </c>
      <c r="E7">
        <v>0.91</v>
      </c>
      <c r="F7">
        <v>1</v>
      </c>
      <c r="G7">
        <v>30.75</v>
      </c>
    </row>
    <row r="8" spans="1:11">
      <c r="A8">
        <v>32</v>
      </c>
      <c r="B8">
        <v>99.15</v>
      </c>
      <c r="C8">
        <v>75</v>
      </c>
      <c r="D8" s="1">
        <v>3.7037037037037035E-4</v>
      </c>
      <c r="E8">
        <v>0.9</v>
      </c>
      <c r="F8">
        <v>1</v>
      </c>
      <c r="G8">
        <v>30.94</v>
      </c>
    </row>
    <row r="9" spans="1:11">
      <c r="A9">
        <v>36</v>
      </c>
      <c r="B9">
        <v>99</v>
      </c>
      <c r="C9">
        <v>75</v>
      </c>
      <c r="D9" s="1">
        <v>4.1666666666666669E-4</v>
      </c>
      <c r="E9">
        <v>0.93</v>
      </c>
      <c r="F9">
        <v>1</v>
      </c>
      <c r="G9">
        <v>31.25</v>
      </c>
    </row>
    <row r="10" spans="1:11">
      <c r="A10">
        <v>40</v>
      </c>
      <c r="B10">
        <v>99.1</v>
      </c>
      <c r="C10">
        <v>71</v>
      </c>
      <c r="D10" s="1">
        <v>4.6296296296296298E-4</v>
      </c>
      <c r="E10">
        <v>0.91</v>
      </c>
      <c r="F10">
        <v>1</v>
      </c>
      <c r="G10">
        <v>31.25</v>
      </c>
      <c r="I10" t="s">
        <v>7</v>
      </c>
      <c r="J10" t="s">
        <v>8</v>
      </c>
      <c r="K10" t="s">
        <v>9</v>
      </c>
    </row>
    <row r="11" spans="1:11">
      <c r="A11">
        <v>44</v>
      </c>
      <c r="B11">
        <v>98.92</v>
      </c>
      <c r="C11">
        <v>71</v>
      </c>
      <c r="D11" s="1">
        <v>5.0925925925925921E-4</v>
      </c>
      <c r="E11">
        <v>0.93</v>
      </c>
      <c r="F11">
        <v>1</v>
      </c>
      <c r="G11">
        <v>31.62</v>
      </c>
      <c r="I11">
        <f>AVERAGE(C2:C20)</f>
        <v>73.684210526315795</v>
      </c>
      <c r="J11">
        <f>MAX(C2:C20)</f>
        <v>78</v>
      </c>
      <c r="K11">
        <f>MIN(C2:C20)</f>
        <v>71</v>
      </c>
    </row>
    <row r="12" spans="1:11">
      <c r="A12">
        <v>48</v>
      </c>
      <c r="B12">
        <v>98.84</v>
      </c>
      <c r="C12">
        <v>75</v>
      </c>
      <c r="D12" s="1">
        <v>5.5555555555555556E-4</v>
      </c>
      <c r="E12">
        <v>0.92</v>
      </c>
      <c r="F12">
        <v>1</v>
      </c>
      <c r="G12">
        <v>31.44</v>
      </c>
      <c r="I12">
        <f>AVERAGE(B2:B20)</f>
        <v>98.841578947368404</v>
      </c>
      <c r="J12">
        <f>MAX(B2:B20)</f>
        <v>99.26</v>
      </c>
      <c r="K12">
        <f>MIN(B2:B20)</f>
        <v>96.87</v>
      </c>
    </row>
    <row r="13" spans="1:11">
      <c r="A13">
        <v>52</v>
      </c>
      <c r="B13">
        <v>98.86</v>
      </c>
      <c r="C13">
        <v>75</v>
      </c>
      <c r="D13" s="1">
        <v>6.018518518518519E-4</v>
      </c>
      <c r="E13">
        <v>0.81</v>
      </c>
      <c r="F13">
        <v>1</v>
      </c>
      <c r="G13">
        <v>31.56</v>
      </c>
    </row>
    <row r="14" spans="1:11">
      <c r="A14">
        <v>56</v>
      </c>
      <c r="B14">
        <v>98.34</v>
      </c>
      <c r="C14">
        <v>75</v>
      </c>
      <c r="D14" s="1">
        <v>6.4814814814814813E-4</v>
      </c>
      <c r="E14">
        <v>0.81</v>
      </c>
      <c r="F14">
        <v>0.99</v>
      </c>
      <c r="G14">
        <v>31.5</v>
      </c>
    </row>
    <row r="15" spans="1:11">
      <c r="A15">
        <v>64</v>
      </c>
      <c r="B15">
        <v>96.87</v>
      </c>
      <c r="C15">
        <v>78</v>
      </c>
      <c r="D15" s="1">
        <v>7.407407407407407E-4</v>
      </c>
      <c r="E15">
        <v>0.54</v>
      </c>
      <c r="F15">
        <v>0.98</v>
      </c>
      <c r="G15">
        <v>31.56</v>
      </c>
    </row>
    <row r="16" spans="1:11">
      <c r="A16">
        <v>68</v>
      </c>
      <c r="B16">
        <v>98.18</v>
      </c>
      <c r="C16">
        <v>71</v>
      </c>
      <c r="D16" s="1">
        <v>7.8703703703703705E-4</v>
      </c>
      <c r="E16">
        <v>0.55000000000000004</v>
      </c>
      <c r="F16">
        <v>0.99</v>
      </c>
      <c r="G16">
        <v>31.94</v>
      </c>
    </row>
    <row r="17" spans="1:7">
      <c r="A17">
        <v>72</v>
      </c>
      <c r="B17">
        <v>98.94</v>
      </c>
      <c r="C17">
        <v>75</v>
      </c>
      <c r="D17" s="1">
        <v>8.3333333333333339E-4</v>
      </c>
      <c r="E17">
        <v>0.93</v>
      </c>
      <c r="F17">
        <v>1</v>
      </c>
      <c r="G17">
        <v>31.62</v>
      </c>
    </row>
    <row r="18" spans="1:7">
      <c r="A18">
        <v>76</v>
      </c>
      <c r="B18">
        <v>99.04</v>
      </c>
      <c r="C18">
        <v>71</v>
      </c>
      <c r="D18" s="1">
        <v>8.7962962962962962E-4</v>
      </c>
      <c r="E18">
        <v>0.99</v>
      </c>
      <c r="F18">
        <v>0.99</v>
      </c>
      <c r="G18">
        <v>31.62</v>
      </c>
    </row>
    <row r="19" spans="1:7">
      <c r="A19">
        <v>80</v>
      </c>
      <c r="B19">
        <v>98.88</v>
      </c>
      <c r="C19">
        <v>75</v>
      </c>
      <c r="D19" s="1">
        <v>9.2592592592592596E-4</v>
      </c>
      <c r="E19">
        <v>0.86</v>
      </c>
      <c r="F19">
        <v>1</v>
      </c>
      <c r="G19">
        <v>31.87</v>
      </c>
    </row>
    <row r="20" spans="1:7">
      <c r="A20">
        <v>84</v>
      </c>
      <c r="B20">
        <v>99.08</v>
      </c>
      <c r="C20">
        <v>75</v>
      </c>
      <c r="D20" s="1">
        <v>9.7222222222222219E-4</v>
      </c>
      <c r="E20">
        <v>0.74</v>
      </c>
      <c r="F20">
        <v>1</v>
      </c>
      <c r="G20">
        <v>31.87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Unsoldered Interrupt</vt:lpstr>
      <vt:lpstr>Sodlered Interrupt - Exended Te</vt:lpstr>
      <vt:lpstr>Heart Meds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Claritta Khoury</dc:creator>
  <cp:lastModifiedBy>Claritta Khoury</cp:lastModifiedBy>
  <dcterms:created xsi:type="dcterms:W3CDTF">2026-03-05T20:11:27Z</dcterms:created>
  <dcterms:modified xsi:type="dcterms:W3CDTF">2026-03-06T07:30:32Z</dcterms:modified>
</cp:coreProperties>
</file>